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\Desktop\"/>
    </mc:Choice>
  </mc:AlternateContent>
  <xr:revisionPtr revIDLastSave="0" documentId="13_ncr:1_{8C28B2E8-85D7-4BE1-93D0-2E30E411C287}" xr6:coauthVersionLast="45" xr6:coauthVersionMax="45" xr10:uidLastSave="{00000000-0000-0000-0000-000000000000}"/>
  <bookViews>
    <workbookView xWindow="-120" yWindow="-120" windowWidth="20730" windowHeight="11160" xr2:uid="{067A737E-DB22-48D0-80A4-CB68441DA7E1}"/>
  </bookViews>
  <sheets>
    <sheet name="Cotizador" sheetId="9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9" l="1"/>
  <c r="B6" i="9" s="1"/>
  <c r="C6" i="9" s="1"/>
  <c r="F11" i="9" l="1"/>
  <c r="C11" i="9" s="1"/>
  <c r="B11" i="9" s="1"/>
  <c r="F10" i="9"/>
  <c r="C10" i="9" s="1"/>
  <c r="B10" i="9" s="1"/>
  <c r="F9" i="9"/>
  <c r="C9" i="9" s="1"/>
  <c r="B9" i="9" s="1"/>
  <c r="F8" i="9"/>
  <c r="C8" i="9" s="1"/>
  <c r="B8" i="9" s="1"/>
  <c r="F7" i="9"/>
  <c r="C7" i="9" s="1"/>
  <c r="B7" i="9" s="1"/>
</calcChain>
</file>

<file path=xl/sharedStrings.xml><?xml version="1.0" encoding="utf-8"?>
<sst xmlns="http://schemas.openxmlformats.org/spreadsheetml/2006/main" count="14" uniqueCount="13">
  <si>
    <t xml:space="preserve"> </t>
  </si>
  <si>
    <t>Cuota 2</t>
  </si>
  <si>
    <t>Cuota 3</t>
  </si>
  <si>
    <t>Cuota 6</t>
  </si>
  <si>
    <t>Cuota 9</t>
  </si>
  <si>
    <t>Cuota 12</t>
  </si>
  <si>
    <t>$ por Cuota</t>
  </si>
  <si>
    <t>$ total Financiado</t>
  </si>
  <si>
    <t>Cant. Cuotas</t>
  </si>
  <si>
    <t>Tarjetas Bancarias</t>
  </si>
  <si>
    <t>Entrada Monto Contado</t>
  </si>
  <si>
    <t xml:space="preserve">Cotizador Cuotas </t>
  </si>
  <si>
    <t xml:space="preserve">Cuota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</si>
</sst>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2" fillId="2" borderId="11" xfId="0" applyNumberFormat="1" applyFont="1" applyFill="1" applyBorder="1"/>
    <xf numFmtId="0" fontId="3" fillId="0" borderId="0" xfId="0" applyFont="1"/>
    <xf numFmtId="164" fontId="3" fillId="0" borderId="6" xfId="0" applyNumberFormat="1" applyFont="1" applyBorder="1"/>
    <xf numFmtId="164" fontId="3" fillId="0" borderId="9" xfId="0" applyNumberFormat="1" applyFont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3" fillId="3" borderId="5" xfId="0" applyFont="1" applyFill="1" applyBorder="1"/>
    <xf numFmtId="164" fontId="3" fillId="3" borderId="1" xfId="0" applyNumberFormat="1" applyFont="1" applyFill="1" applyBorder="1"/>
    <xf numFmtId="0" fontId="3" fillId="3" borderId="7" xfId="0" applyFont="1" applyFill="1" applyBorder="1"/>
    <xf numFmtId="164" fontId="3" fillId="3" borderId="8" xfId="0" applyNumberFormat="1" applyFont="1" applyFill="1" applyBorder="1"/>
    <xf numFmtId="0" fontId="2" fillId="3" borderId="10" xfId="0" applyFont="1" applyFill="1" applyBorder="1"/>
    <xf numFmtId="0" fontId="2" fillId="3" borderId="12" xfId="0" applyFont="1" applyFill="1" applyBorder="1"/>
    <xf numFmtId="0" fontId="2" fillId="3" borderId="11" xfId="0" applyFont="1" applyFill="1" applyBorder="1"/>
    <xf numFmtId="0" fontId="3" fillId="3" borderId="13" xfId="0" applyFont="1" applyFill="1" applyBorder="1"/>
    <xf numFmtId="164" fontId="3" fillId="3" borderId="14" xfId="0" applyNumberFormat="1" applyFont="1" applyFill="1" applyBorder="1"/>
    <xf numFmtId="164" fontId="3" fillId="0" borderId="1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FE9E-CA4D-4801-87EF-CA27CC1AF260}">
  <dimension ref="A1:F11"/>
  <sheetViews>
    <sheetView tabSelected="1" zoomScale="80" workbookViewId="0">
      <selection activeCell="B3" sqref="B3"/>
    </sheetView>
  </sheetViews>
  <sheetFormatPr baseColWidth="10" defaultRowHeight="15" x14ac:dyDescent="0.25"/>
  <cols>
    <col min="1" max="1" width="32.7109375" customWidth="1"/>
    <col min="2" max="2" width="31" customWidth="1"/>
    <col min="3" max="3" width="28.140625" customWidth="1"/>
    <col min="4" max="4" width="5.7109375" hidden="1" customWidth="1"/>
    <col min="5" max="5" width="13" style="1" hidden="1" customWidth="1"/>
    <col min="6" max="6" width="17.85546875" hidden="1" customWidth="1"/>
  </cols>
  <sheetData>
    <row r="1" spans="1:6" ht="21.75" thickBot="1" x14ac:dyDescent="0.4">
      <c r="A1" s="14" t="s">
        <v>11</v>
      </c>
      <c r="B1" s="15"/>
      <c r="C1" s="16" t="s">
        <v>9</v>
      </c>
    </row>
    <row r="2" spans="1:6" ht="21.75" thickBot="1" x14ac:dyDescent="0.4">
      <c r="A2" s="4" t="s">
        <v>0</v>
      </c>
      <c r="B2" s="4"/>
      <c r="C2" s="4"/>
    </row>
    <row r="3" spans="1:6" ht="21.75" thickBot="1" x14ac:dyDescent="0.4">
      <c r="A3" s="14" t="s">
        <v>10</v>
      </c>
      <c r="B3" s="3">
        <v>1000000</v>
      </c>
      <c r="C3" s="4"/>
    </row>
    <row r="4" spans="1:6" ht="21.75" thickBot="1" x14ac:dyDescent="0.4">
      <c r="A4" s="4"/>
      <c r="B4" s="4"/>
      <c r="C4" s="4"/>
    </row>
    <row r="5" spans="1:6" ht="21" x14ac:dyDescent="0.35">
      <c r="A5" s="7" t="s">
        <v>8</v>
      </c>
      <c r="B5" s="8" t="s">
        <v>6</v>
      </c>
      <c r="C5" s="9" t="s">
        <v>7</v>
      </c>
      <c r="E5" s="1" t="s">
        <v>0</v>
      </c>
    </row>
    <row r="6" spans="1:6" ht="21" x14ac:dyDescent="0.35">
      <c r="A6" s="17" t="s">
        <v>12</v>
      </c>
      <c r="B6" s="18">
        <f>F6+B3</f>
        <v>1071000</v>
      </c>
      <c r="C6" s="19">
        <f>B6</f>
        <v>1071000</v>
      </c>
      <c r="F6" s="2">
        <f>B3*7.1/100</f>
        <v>71000</v>
      </c>
    </row>
    <row r="7" spans="1:6" ht="21" x14ac:dyDescent="0.35">
      <c r="A7" s="10" t="s">
        <v>1</v>
      </c>
      <c r="B7" s="11">
        <f>C7/2</f>
        <v>580750</v>
      </c>
      <c r="C7" s="5">
        <f>B3+F7</f>
        <v>1161500</v>
      </c>
      <c r="D7">
        <v>16.149999999999999</v>
      </c>
      <c r="E7" s="1">
        <v>1.1614691888357258</v>
      </c>
      <c r="F7" s="2">
        <f>B3*D7/100</f>
        <v>161499.99999999997</v>
      </c>
    </row>
    <row r="8" spans="1:6" ht="21" x14ac:dyDescent="0.35">
      <c r="A8" s="10" t="s">
        <v>2</v>
      </c>
      <c r="B8" s="11">
        <f>C8/3</f>
        <v>397366.66666666669</v>
      </c>
      <c r="C8" s="5">
        <f>B3+F8</f>
        <v>1192100</v>
      </c>
      <c r="D8">
        <v>19.21</v>
      </c>
      <c r="E8" s="1">
        <v>1.1920677428256894</v>
      </c>
      <c r="F8" s="2">
        <f>B3*D8/100</f>
        <v>192100</v>
      </c>
    </row>
    <row r="9" spans="1:6" ht="21" x14ac:dyDescent="0.35">
      <c r="A9" s="10" t="s">
        <v>3</v>
      </c>
      <c r="B9" s="11">
        <f>C9/6</f>
        <v>214683.33333333334</v>
      </c>
      <c r="C9" s="5">
        <f>B3+F9</f>
        <v>1288100</v>
      </c>
      <c r="D9">
        <v>28.81</v>
      </c>
      <c r="E9" s="1">
        <v>1.2881028885063222</v>
      </c>
      <c r="F9" s="2">
        <f>B3*D9/100</f>
        <v>288100</v>
      </c>
    </row>
    <row r="10" spans="1:6" ht="21" x14ac:dyDescent="0.35">
      <c r="A10" s="10" t="s">
        <v>4</v>
      </c>
      <c r="B10" s="11">
        <f>C10/9</f>
        <v>154511.11111111112</v>
      </c>
      <c r="C10" s="5">
        <f>B3+F10</f>
        <v>1390600</v>
      </c>
      <c r="D10">
        <v>39.06</v>
      </c>
      <c r="E10" s="1">
        <v>1.3906339413416697</v>
      </c>
      <c r="F10" s="2">
        <f>B3*D10/100</f>
        <v>390600</v>
      </c>
    </row>
    <row r="11" spans="1:6" ht="21.75" thickBot="1" x14ac:dyDescent="0.4">
      <c r="A11" s="12" t="s">
        <v>5</v>
      </c>
      <c r="B11" s="13">
        <f>C11/12</f>
        <v>125041.66666666667</v>
      </c>
      <c r="C11" s="6">
        <f>B3+F11</f>
        <v>1500500</v>
      </c>
      <c r="D11">
        <v>50.05</v>
      </c>
      <c r="E11" s="1">
        <v>1.5003784704691758</v>
      </c>
      <c r="F11" s="2">
        <f>B3*D11/100</f>
        <v>500500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</dc:creator>
  <cp:lastModifiedBy>Guillermo</cp:lastModifiedBy>
  <dcterms:created xsi:type="dcterms:W3CDTF">2025-10-02T13:00:13Z</dcterms:created>
  <dcterms:modified xsi:type="dcterms:W3CDTF">2026-01-05T21:55:17Z</dcterms:modified>
</cp:coreProperties>
</file>