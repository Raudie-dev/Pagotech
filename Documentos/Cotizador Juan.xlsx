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\Desktop\"/>
    </mc:Choice>
  </mc:AlternateContent>
  <xr:revisionPtr revIDLastSave="0" documentId="8_{17D8E61C-92BC-4AF4-8968-0785FB475A16}" xr6:coauthVersionLast="45" xr6:coauthVersionMax="45" xr10:uidLastSave="{00000000-0000-0000-0000-000000000000}"/>
  <bookViews>
    <workbookView xWindow="-120" yWindow="-120" windowWidth="20730" windowHeight="11160" xr2:uid="{5D50B436-E5EF-48DC-989F-BF251D14279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1" l="1"/>
  <c r="E21" i="1"/>
  <c r="F21" i="1" s="1"/>
  <c r="H21" i="1" s="1"/>
  <c r="B37" i="1" s="1"/>
  <c r="C21" i="1"/>
  <c r="C20" i="1"/>
  <c r="E19" i="1"/>
  <c r="F19" i="1" s="1"/>
  <c r="H19" i="1" s="1"/>
  <c r="B35" i="1" s="1"/>
  <c r="C19" i="1"/>
  <c r="C18" i="1"/>
  <c r="E17" i="1"/>
  <c r="F17" i="1" s="1"/>
  <c r="H17" i="1" s="1"/>
  <c r="B33" i="1" s="1"/>
  <c r="C17" i="1"/>
  <c r="C16" i="1"/>
  <c r="E15" i="1"/>
  <c r="F15" i="1" s="1"/>
  <c r="H15" i="1" s="1"/>
  <c r="B31" i="1" s="1"/>
  <c r="C15" i="1"/>
  <c r="C14" i="1"/>
  <c r="E13" i="1"/>
  <c r="F13" i="1" s="1"/>
  <c r="H13" i="1" s="1"/>
  <c r="B29" i="1" s="1"/>
  <c r="C13" i="1"/>
  <c r="C12" i="1"/>
  <c r="C10" i="1"/>
  <c r="E22" i="1" s="1"/>
  <c r="F22" i="1" s="1"/>
  <c r="H22" i="1" s="1"/>
  <c r="B38" i="1" s="1"/>
  <c r="C9" i="1"/>
  <c r="C29" i="1" l="1"/>
  <c r="F29" i="1"/>
  <c r="G29" i="1" s="1"/>
  <c r="H29" i="1"/>
  <c r="I29" i="1" s="1"/>
  <c r="D29" i="1"/>
  <c r="E29" i="1" s="1"/>
  <c r="C33" i="1"/>
  <c r="H33" i="1"/>
  <c r="I33" i="1" s="1"/>
  <c r="F33" i="1"/>
  <c r="G33" i="1" s="1"/>
  <c r="D33" i="1"/>
  <c r="E33" i="1" s="1"/>
  <c r="C37" i="1"/>
  <c r="J37" i="1"/>
  <c r="H37" i="1"/>
  <c r="I37" i="1" s="1"/>
  <c r="F37" i="1"/>
  <c r="G37" i="1" s="1"/>
  <c r="D37" i="1"/>
  <c r="E37" i="1" s="1"/>
  <c r="H38" i="1"/>
  <c r="I38" i="1" s="1"/>
  <c r="F38" i="1"/>
  <c r="G38" i="1" s="1"/>
  <c r="D38" i="1"/>
  <c r="E38" i="1" s="1"/>
  <c r="C38" i="1"/>
  <c r="C31" i="1"/>
  <c r="J31" i="1" s="1"/>
  <c r="H31" i="1"/>
  <c r="I31" i="1" s="1"/>
  <c r="D31" i="1"/>
  <c r="E31" i="1" s="1"/>
  <c r="F31" i="1"/>
  <c r="G31" i="1" s="1"/>
  <c r="C35" i="1"/>
  <c r="H35" i="1"/>
  <c r="I35" i="1" s="1"/>
  <c r="F35" i="1"/>
  <c r="G35" i="1" s="1"/>
  <c r="D35" i="1"/>
  <c r="E35" i="1" s="1"/>
  <c r="E12" i="1"/>
  <c r="F12" i="1" s="1"/>
  <c r="H12" i="1" s="1"/>
  <c r="B28" i="1" s="1"/>
  <c r="E14" i="1"/>
  <c r="F14" i="1" s="1"/>
  <c r="H14" i="1" s="1"/>
  <c r="B30" i="1" s="1"/>
  <c r="E16" i="1"/>
  <c r="F16" i="1" s="1"/>
  <c r="H16" i="1" s="1"/>
  <c r="B32" i="1" s="1"/>
  <c r="E18" i="1"/>
  <c r="F18" i="1" s="1"/>
  <c r="H18" i="1" s="1"/>
  <c r="B34" i="1" s="1"/>
  <c r="E20" i="1"/>
  <c r="F20" i="1" s="1"/>
  <c r="H20" i="1" s="1"/>
  <c r="B36" i="1" s="1"/>
  <c r="J35" i="1" l="1"/>
  <c r="J38" i="1"/>
  <c r="J33" i="1"/>
  <c r="H34" i="1"/>
  <c r="I34" i="1" s="1"/>
  <c r="F34" i="1"/>
  <c r="G34" i="1" s="1"/>
  <c r="D34" i="1"/>
  <c r="E34" i="1" s="1"/>
  <c r="C34" i="1"/>
  <c r="H30" i="1"/>
  <c r="I30" i="1" s="1"/>
  <c r="F30" i="1"/>
  <c r="G30" i="1" s="1"/>
  <c r="D30" i="1"/>
  <c r="E30" i="1" s="1"/>
  <c r="C30" i="1"/>
  <c r="J29" i="1"/>
  <c r="H36" i="1"/>
  <c r="I36" i="1" s="1"/>
  <c r="F36" i="1"/>
  <c r="G36" i="1" s="1"/>
  <c r="D36" i="1"/>
  <c r="E36" i="1" s="1"/>
  <c r="C36" i="1"/>
  <c r="H32" i="1"/>
  <c r="I32" i="1" s="1"/>
  <c r="F32" i="1"/>
  <c r="G32" i="1" s="1"/>
  <c r="D32" i="1"/>
  <c r="E32" i="1" s="1"/>
  <c r="C32" i="1"/>
  <c r="H28" i="1"/>
  <c r="I28" i="1" s="1"/>
  <c r="F28" i="1"/>
  <c r="G28" i="1" s="1"/>
  <c r="D28" i="1"/>
  <c r="E28" i="1" s="1"/>
  <c r="C28" i="1"/>
  <c r="J28" i="1" l="1"/>
  <c r="J32" i="1"/>
  <c r="J36" i="1"/>
  <c r="J30" i="1"/>
  <c r="J34" i="1"/>
</calcChain>
</file>

<file path=xl/sharedStrings.xml><?xml version="1.0" encoding="utf-8"?>
<sst xmlns="http://schemas.openxmlformats.org/spreadsheetml/2006/main" count="50" uniqueCount="38">
  <si>
    <t>Precio contado</t>
  </si>
  <si>
    <t>Orig</t>
  </si>
  <si>
    <t>IVA</t>
  </si>
  <si>
    <t>IVA tasa financiación</t>
  </si>
  <si>
    <t>descuento con iva (porcentaje * (1 + IVA))</t>
  </si>
  <si>
    <t>Comision PT</t>
  </si>
  <si>
    <t>Arancel Payway</t>
  </si>
  <si>
    <t>PARA VENDER</t>
  </si>
  <si>
    <t>Comision 4% mas cuota con IVAs</t>
  </si>
  <si>
    <t>TOTAL DESCUENTOS (suma de los descuentos con IVA)</t>
  </si>
  <si>
    <t>RECARGO O COEFICIENTE TOTAL (1 / (1-DESCUENTO TOTAL)) con IVA</t>
  </si>
  <si>
    <t>PRECIO FINAL (PC * RECARGO)</t>
  </si>
  <si>
    <t>Comision Payway 2c</t>
  </si>
  <si>
    <t>Comision Payway 3c</t>
  </si>
  <si>
    <t>Comision Payway 4c</t>
  </si>
  <si>
    <t>Comision Payway 5c</t>
  </si>
  <si>
    <t>Comision Payway 6c</t>
  </si>
  <si>
    <t>Comision Payway 7c</t>
  </si>
  <si>
    <t>Comision Payway 8c</t>
  </si>
  <si>
    <t>Comision Payway 9c</t>
  </si>
  <si>
    <t>Comision Payway 10c</t>
  </si>
  <si>
    <t>Comision Payway 11c</t>
  </si>
  <si>
    <t>Comision Payway 12c</t>
  </si>
  <si>
    <t>DESGLOCE DE LOS DESCUENTOS</t>
  </si>
  <si>
    <t>DETALLES</t>
  </si>
  <si>
    <t>Precio Publico</t>
  </si>
  <si>
    <t>Com Payway + PT</t>
  </si>
  <si>
    <t>Tu comision</t>
  </si>
  <si>
    <t>IVA Comision</t>
  </si>
  <si>
    <t>TasaPayWay</t>
  </si>
  <si>
    <t>IVA Com Pay</t>
  </si>
  <si>
    <t>Arancel Pay</t>
  </si>
  <si>
    <t>Comerciante</t>
  </si>
  <si>
    <t>Trasladar costo financiero al cliente</t>
  </si>
  <si>
    <t>Precio de Venta = $ 10.000 * 1.2241 = $ 12.241</t>
  </si>
  <si>
    <t>Descuento (costo financiero) = $ 12.241 * 15,13 / 100 = $ 1.852,06</t>
  </si>
  <si>
    <t>IVA de Descuento (IVA de costo financiero) = $ 1.852,06 * 0.21 = $ 388,93</t>
  </si>
  <si>
    <t>Pago Comercio = $ 12.241 - $1.852,06 - $ 388,93 = $ 10.000,01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</si>
</sst>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name val="Calibri"/>
      <family val="2"/>
      <scheme val="minor"/>
    </font>
    <font>
      <sz val="12"/>
      <color rgb="FF333333"/>
      <name val="Robo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4" fontId="0" fillId="2" borderId="0" xfId="0" applyNumberFormat="1" applyFill="1"/>
    <xf numFmtId="10" fontId="0" fillId="2" borderId="0" xfId="1" applyNumberFormat="1" applyFont="1" applyFill="1"/>
    <xf numFmtId="9" fontId="0" fillId="0" borderId="0" xfId="1" applyFont="1"/>
    <xf numFmtId="9" fontId="0" fillId="2" borderId="0" xfId="1" applyFont="1" applyFill="1"/>
    <xf numFmtId="164" fontId="0" fillId="3" borderId="0" xfId="0" applyNumberFormat="1" applyFill="1"/>
    <xf numFmtId="165" fontId="0" fillId="2" borderId="0" xfId="1" applyNumberFormat="1" applyFont="1" applyFill="1"/>
    <xf numFmtId="165" fontId="0" fillId="0" borderId="0" xfId="1" applyNumberFormat="1" applyFont="1"/>
    <xf numFmtId="0" fontId="2" fillId="4" borderId="0" xfId="0" applyFont="1" applyFill="1" applyAlignment="1">
      <alignment wrapText="1"/>
    </xf>
    <xf numFmtId="10" fontId="0" fillId="3" borderId="0" xfId="1" applyNumberFormat="1" applyFont="1" applyFill="1"/>
    <xf numFmtId="0" fontId="0" fillId="5" borderId="0" xfId="0" applyFill="1"/>
    <xf numFmtId="0" fontId="0" fillId="3" borderId="0" xfId="0" applyFill="1"/>
    <xf numFmtId="4" fontId="2" fillId="3" borderId="0" xfId="0" applyNumberFormat="1" applyFont="1" applyFill="1"/>
    <xf numFmtId="0" fontId="0" fillId="6" borderId="1" xfId="0" applyFill="1" applyBorder="1" applyAlignment="1">
      <alignment horizontal="center"/>
    </xf>
    <xf numFmtId="0" fontId="2" fillId="3" borderId="2" xfId="0" applyFont="1" applyFill="1" applyBorder="1"/>
    <xf numFmtId="0" fontId="2" fillId="6" borderId="2" xfId="0" applyFont="1" applyFill="1" applyBorder="1"/>
    <xf numFmtId="4" fontId="0" fillId="3" borderId="0" xfId="0" applyNumberFormat="1" applyFill="1"/>
    <xf numFmtId="0" fontId="0" fillId="6" borderId="0" xfId="0" applyFill="1"/>
    <xf numFmtId="0" fontId="3" fillId="0" borderId="0" xfId="0" applyFont="1"/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/>
    <xf numFmtId="0" fontId="0" fillId="0" borderId="7" xfId="0" applyBorder="1"/>
    <xf numFmtId="0" fontId="4" fillId="0" borderId="8" xfId="0" applyFont="1" applyBorder="1"/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E27C-12CC-4D4F-8FAC-8C2B0DDA8DDA}">
  <dimension ref="A3:J45"/>
  <sheetViews>
    <sheetView tabSelected="1" topLeftCell="A27" workbookViewId="0">
      <selection activeCell="B46" sqref="B46"/>
    </sheetView>
  </sheetViews>
  <sheetFormatPr baseColWidth="10" defaultColWidth="9.140625" defaultRowHeight="15"/>
  <cols>
    <col min="1" max="1" width="20.7109375" customWidth="1"/>
    <col min="2" max="2" width="15.28515625" customWidth="1"/>
    <col min="3" max="3" width="23" customWidth="1"/>
    <col min="4" max="4" width="27" customWidth="1"/>
    <col min="5" max="5" width="24.7109375" customWidth="1"/>
    <col min="6" max="6" width="22.85546875" customWidth="1"/>
    <col min="7" max="7" width="13.7109375" customWidth="1"/>
    <col min="8" max="8" width="17.28515625" customWidth="1"/>
    <col min="9" max="9" width="10.140625" bestFit="1" customWidth="1"/>
    <col min="10" max="10" width="13" customWidth="1"/>
  </cols>
  <sheetData>
    <row r="3" spans="1:8">
      <c r="A3" t="s">
        <v>0</v>
      </c>
      <c r="B3" s="1">
        <v>1000000</v>
      </c>
    </row>
    <row r="4" spans="1:8">
      <c r="B4" s="1" t="s">
        <v>1</v>
      </c>
    </row>
    <row r="6" spans="1:8">
      <c r="A6" t="s">
        <v>2</v>
      </c>
      <c r="B6" s="2">
        <v>0.21</v>
      </c>
    </row>
    <row r="7" spans="1:8">
      <c r="A7" t="s">
        <v>3</v>
      </c>
      <c r="B7" s="2">
        <v>0.105</v>
      </c>
    </row>
    <row r="8" spans="1:8">
      <c r="B8" s="3"/>
      <c r="C8" t="s">
        <v>4</v>
      </c>
    </row>
    <row r="9" spans="1:8">
      <c r="A9" t="s">
        <v>5</v>
      </c>
      <c r="B9" s="4">
        <v>0.04</v>
      </c>
      <c r="C9" s="5">
        <f>B9*(1+$B$6)</f>
        <v>4.8399999999999999E-2</v>
      </c>
    </row>
    <row r="10" spans="1:8">
      <c r="A10" t="s">
        <v>6</v>
      </c>
      <c r="B10" s="6">
        <v>1.7999999999999999E-2</v>
      </c>
      <c r="C10" s="5">
        <f t="shared" ref="C10" si="0">B10*(1+$B$6)</f>
        <v>2.1779999999999997E-2</v>
      </c>
      <c r="F10" t="s">
        <v>7</v>
      </c>
    </row>
    <row r="11" spans="1:8" ht="42.75" customHeight="1">
      <c r="B11" s="7"/>
      <c r="C11" s="8" t="s">
        <v>8</v>
      </c>
      <c r="D11" s="8"/>
      <c r="E11" s="8" t="s">
        <v>9</v>
      </c>
      <c r="F11" s="8" t="s">
        <v>10</v>
      </c>
      <c r="G11" s="8" t="s">
        <v>11</v>
      </c>
    </row>
    <row r="12" spans="1:8">
      <c r="A12" t="s">
        <v>12</v>
      </c>
      <c r="B12" s="2">
        <v>6.2300000000000001E-2</v>
      </c>
      <c r="C12" s="9">
        <f>B12*(1+B$7)+B$9*(1+B$6)</f>
        <v>0.1172415</v>
      </c>
      <c r="D12" s="5"/>
      <c r="E12" s="5">
        <f>C12+C$10</f>
        <v>0.13902149999999999</v>
      </c>
      <c r="F12" s="10">
        <f>1/(1-E12)</f>
        <v>1.1614691888357258</v>
      </c>
      <c r="G12" s="11"/>
      <c r="H12" s="12">
        <f>B$3*F12</f>
        <v>1161469.1888357259</v>
      </c>
    </row>
    <row r="13" spans="1:8">
      <c r="A13" t="s">
        <v>13</v>
      </c>
      <c r="B13" s="2">
        <v>8.2299999999999998E-2</v>
      </c>
      <c r="C13" s="9">
        <f t="shared" ref="C13:C22" si="1">B13*(1+B$7)+B$9*(1+B$6)</f>
        <v>0.13934150000000001</v>
      </c>
      <c r="D13" s="5"/>
      <c r="E13" s="5">
        <f t="shared" ref="E13:E22" si="2">C13+C$10</f>
        <v>0.1611215</v>
      </c>
      <c r="F13" s="10">
        <f t="shared" ref="F13:F22" si="3">1/(1-E13)</f>
        <v>1.1920677428256894</v>
      </c>
      <c r="G13" s="11"/>
      <c r="H13" s="12">
        <f t="shared" ref="H13:H22" si="4">B$3*F13</f>
        <v>1192067.7428256895</v>
      </c>
    </row>
    <row r="14" spans="1:8">
      <c r="A14" t="s">
        <v>14</v>
      </c>
      <c r="B14" s="2">
        <v>0.1017</v>
      </c>
      <c r="C14" s="9">
        <f t="shared" si="1"/>
        <v>0.16077849999999999</v>
      </c>
      <c r="D14" s="5"/>
      <c r="E14" s="5">
        <f t="shared" si="2"/>
        <v>0.18255849999999998</v>
      </c>
      <c r="F14" s="10">
        <f t="shared" si="3"/>
        <v>1.2233291311977676</v>
      </c>
      <c r="G14" s="11"/>
      <c r="H14" s="12">
        <f t="shared" si="4"/>
        <v>1223329.1311977676</v>
      </c>
    </row>
    <row r="15" spans="1:8">
      <c r="A15" t="s">
        <v>15</v>
      </c>
      <c r="B15" s="2">
        <v>0.1205</v>
      </c>
      <c r="C15" s="9">
        <f t="shared" si="1"/>
        <v>0.18155250000000001</v>
      </c>
      <c r="D15" s="5"/>
      <c r="E15" s="5">
        <f t="shared" si="2"/>
        <v>0.2033325</v>
      </c>
      <c r="F15" s="10">
        <f t="shared" si="3"/>
        <v>1.2552288125221627</v>
      </c>
      <c r="G15" s="11"/>
      <c r="H15" s="12">
        <f t="shared" si="4"/>
        <v>1255228.8125221627</v>
      </c>
    </row>
    <row r="16" spans="1:8">
      <c r="A16" t="s">
        <v>16</v>
      </c>
      <c r="B16" s="2">
        <v>0.1389</v>
      </c>
      <c r="C16" s="9">
        <f t="shared" si="1"/>
        <v>0.20188449999999999</v>
      </c>
      <c r="D16" s="5"/>
      <c r="E16" s="5">
        <f t="shared" si="2"/>
        <v>0.22366449999999999</v>
      </c>
      <c r="F16" s="10">
        <f t="shared" si="3"/>
        <v>1.2881028885063222</v>
      </c>
      <c r="G16" s="11"/>
      <c r="H16" s="12">
        <f t="shared" si="4"/>
        <v>1288102.8885063222</v>
      </c>
    </row>
    <row r="17" spans="1:10">
      <c r="A17" t="s">
        <v>17</v>
      </c>
      <c r="B17" s="2">
        <v>0.15659999999999999</v>
      </c>
      <c r="C17" s="9">
        <f t="shared" si="1"/>
        <v>0.22144299999999997</v>
      </c>
      <c r="D17" s="5"/>
      <c r="E17" s="5">
        <f t="shared" si="2"/>
        <v>0.24322299999999997</v>
      </c>
      <c r="F17" s="10">
        <f t="shared" si="3"/>
        <v>1.3213932241598252</v>
      </c>
      <c r="G17" s="11"/>
      <c r="H17" s="12">
        <f t="shared" si="4"/>
        <v>1321393.2241598251</v>
      </c>
    </row>
    <row r="18" spans="1:10">
      <c r="A18" t="s">
        <v>18</v>
      </c>
      <c r="B18" s="2">
        <v>0.1739</v>
      </c>
      <c r="C18" s="9">
        <f t="shared" si="1"/>
        <v>0.24055949999999998</v>
      </c>
      <c r="D18" s="5"/>
      <c r="E18" s="5">
        <f t="shared" si="2"/>
        <v>0.2623395</v>
      </c>
      <c r="F18" s="10">
        <f t="shared" si="3"/>
        <v>1.3556371799764253</v>
      </c>
      <c r="G18" s="11"/>
      <c r="H18" s="12">
        <f t="shared" si="4"/>
        <v>1355637.1799764254</v>
      </c>
    </row>
    <row r="19" spans="1:10">
      <c r="A19" t="s">
        <v>19</v>
      </c>
      <c r="B19" s="2">
        <v>0.19070000000000001</v>
      </c>
      <c r="C19" s="9">
        <f t="shared" si="1"/>
        <v>0.25912350000000001</v>
      </c>
      <c r="D19" s="5"/>
      <c r="E19" s="5">
        <f t="shared" si="2"/>
        <v>0.28090350000000003</v>
      </c>
      <c r="F19" s="10">
        <f t="shared" si="3"/>
        <v>1.3906339413416697</v>
      </c>
      <c r="G19" s="11"/>
      <c r="H19" s="12">
        <f t="shared" si="4"/>
        <v>1390633.9413416698</v>
      </c>
    </row>
    <row r="20" spans="1:10">
      <c r="A20" t="s">
        <v>20</v>
      </c>
      <c r="B20" s="2">
        <v>0.20699999999999999</v>
      </c>
      <c r="C20" s="9">
        <f t="shared" si="1"/>
        <v>0.27713500000000002</v>
      </c>
      <c r="D20" s="5"/>
      <c r="E20" s="5">
        <f t="shared" si="2"/>
        <v>0.29891500000000004</v>
      </c>
      <c r="F20" s="10">
        <f t="shared" si="3"/>
        <v>1.4263605696884116</v>
      </c>
      <c r="G20" s="11"/>
      <c r="H20" s="12">
        <f t="shared" si="4"/>
        <v>1426360.5696884117</v>
      </c>
    </row>
    <row r="21" spans="1:10">
      <c r="A21" t="s">
        <v>21</v>
      </c>
      <c r="B21" s="2">
        <v>0.22289999999999999</v>
      </c>
      <c r="C21" s="9">
        <f t="shared" si="1"/>
        <v>0.29470449999999998</v>
      </c>
      <c r="D21" s="5"/>
      <c r="E21" s="5">
        <f t="shared" si="2"/>
        <v>0.3164845</v>
      </c>
      <c r="F21" s="10">
        <f t="shared" si="3"/>
        <v>1.4630246131945801</v>
      </c>
      <c r="G21" s="11"/>
      <c r="H21" s="12">
        <f t="shared" si="4"/>
        <v>1463024.6131945802</v>
      </c>
    </row>
    <row r="22" spans="1:10">
      <c r="A22" t="s">
        <v>22</v>
      </c>
      <c r="B22" s="2">
        <v>0.23829999999999998</v>
      </c>
      <c r="C22" s="9">
        <f t="shared" si="1"/>
        <v>0.31172149999999998</v>
      </c>
      <c r="D22" s="5"/>
      <c r="E22" s="5">
        <f t="shared" si="2"/>
        <v>0.33350150000000001</v>
      </c>
      <c r="F22" s="10">
        <f t="shared" si="3"/>
        <v>1.5003784704691758</v>
      </c>
      <c r="G22" s="11"/>
      <c r="H22" s="12">
        <f t="shared" si="4"/>
        <v>1500378.4704691758</v>
      </c>
    </row>
    <row r="26" spans="1:10">
      <c r="A26" t="s">
        <v>23</v>
      </c>
      <c r="D26" s="13" t="s">
        <v>24</v>
      </c>
      <c r="E26" s="13"/>
      <c r="F26" s="13"/>
      <c r="G26" s="13"/>
    </row>
    <row r="27" spans="1:10">
      <c r="A27" s="11"/>
      <c r="B27" s="11" t="s">
        <v>25</v>
      </c>
      <c r="C27" s="14" t="s">
        <v>26</v>
      </c>
      <c r="D27" s="15" t="s">
        <v>27</v>
      </c>
      <c r="E27" s="15" t="s">
        <v>28</v>
      </c>
      <c r="F27" s="15" t="s">
        <v>29</v>
      </c>
      <c r="G27" s="15" t="s">
        <v>30</v>
      </c>
      <c r="H27" s="14" t="s">
        <v>31</v>
      </c>
      <c r="I27" s="14" t="s">
        <v>30</v>
      </c>
      <c r="J27" s="11" t="s">
        <v>32</v>
      </c>
    </row>
    <row r="28" spans="1:10">
      <c r="A28" s="11" t="s">
        <v>12</v>
      </c>
      <c r="B28" s="16">
        <f>H12</f>
        <v>1161469.1888357259</v>
      </c>
      <c r="C28" s="11">
        <f t="shared" ref="C28:C38" si="5">-B28*C12</f>
        <v>-136172.38990288376</v>
      </c>
      <c r="D28" s="17">
        <f>B28*B$9</f>
        <v>46458.767553429039</v>
      </c>
      <c r="E28" s="17">
        <f>D28*B$6</f>
        <v>9756.3411862200974</v>
      </c>
      <c r="F28" s="17">
        <f>B28*B12</f>
        <v>72359.53046446573</v>
      </c>
      <c r="G28" s="17">
        <f>F28*B$7</f>
        <v>7597.7506987689012</v>
      </c>
      <c r="H28" s="11">
        <f t="shared" ref="H28:H38" si="6">-B28*B$10</f>
        <v>-20906.445399043063</v>
      </c>
      <c r="I28" s="11">
        <f t="shared" ref="I28:I38" si="7">H28*B$6</f>
        <v>-4390.3535337990434</v>
      </c>
      <c r="J28" s="16">
        <f>B28+C28+H28+I28</f>
        <v>1000000</v>
      </c>
    </row>
    <row r="29" spans="1:10">
      <c r="A29" s="11" t="s">
        <v>13</v>
      </c>
      <c r="B29" s="16">
        <f t="shared" ref="B29:B38" si="8">H13</f>
        <v>1192067.7428256895</v>
      </c>
      <c r="C29" s="11">
        <f t="shared" si="5"/>
        <v>-166104.50738694583</v>
      </c>
      <c r="D29" s="17">
        <f t="shared" ref="D29:D38" si="9">B29*B$9</f>
        <v>47682.70971302758</v>
      </c>
      <c r="E29" s="17">
        <f t="shared" ref="E29:E38" si="10">D29*B$6</f>
        <v>10013.369039735791</v>
      </c>
      <c r="F29" s="17">
        <f t="shared" ref="F29:F38" si="11">B29*B13</f>
        <v>98107.175234554248</v>
      </c>
      <c r="G29" s="17">
        <f t="shared" ref="G29:G38" si="12">F29*B$7</f>
        <v>10301.253399628196</v>
      </c>
      <c r="H29" s="11">
        <f t="shared" si="6"/>
        <v>-21457.219370862411</v>
      </c>
      <c r="I29" s="11">
        <f t="shared" si="7"/>
        <v>-4506.0160678811062</v>
      </c>
      <c r="J29" s="16">
        <f t="shared" ref="J29:J38" si="13">B29+C29+H29+I29</f>
        <v>1000000</v>
      </c>
    </row>
    <row r="30" spans="1:10">
      <c r="A30" s="11" t="s">
        <v>14</v>
      </c>
      <c r="B30" s="16">
        <f t="shared" si="8"/>
        <v>1223329.1311977676</v>
      </c>
      <c r="C30" s="11">
        <f t="shared" si="5"/>
        <v>-196685.02272028025</v>
      </c>
      <c r="D30" s="17">
        <f t="shared" si="9"/>
        <v>48933.165247910707</v>
      </c>
      <c r="E30" s="17">
        <f t="shared" si="10"/>
        <v>10275.964702061248</v>
      </c>
      <c r="F30" s="17">
        <f t="shared" si="11"/>
        <v>124412.57264281296</v>
      </c>
      <c r="G30" s="17">
        <f t="shared" si="12"/>
        <v>13063.320127495361</v>
      </c>
      <c r="H30" s="11">
        <f t="shared" si="6"/>
        <v>-22019.924361559813</v>
      </c>
      <c r="I30" s="11">
        <f t="shared" si="7"/>
        <v>-4624.1841159275609</v>
      </c>
      <c r="J30" s="16">
        <f t="shared" si="13"/>
        <v>1000000</v>
      </c>
    </row>
    <row r="31" spans="1:10">
      <c r="A31" s="11" t="s">
        <v>15</v>
      </c>
      <c r="B31" s="16">
        <f t="shared" si="8"/>
        <v>1255228.8125221627</v>
      </c>
      <c r="C31" s="11">
        <f t="shared" si="5"/>
        <v>-227889.92898542996</v>
      </c>
      <c r="D31" s="17">
        <f t="shared" si="9"/>
        <v>50209.152500886506</v>
      </c>
      <c r="E31" s="17">
        <f t="shared" si="10"/>
        <v>10543.922025186166</v>
      </c>
      <c r="F31" s="17">
        <f t="shared" si="11"/>
        <v>151255.0719089206</v>
      </c>
      <c r="G31" s="17">
        <f t="shared" si="12"/>
        <v>15881.782550436663</v>
      </c>
      <c r="H31" s="11">
        <f t="shared" si="6"/>
        <v>-22594.118625398925</v>
      </c>
      <c r="I31" s="11">
        <f t="shared" si="7"/>
        <v>-4744.7649113337739</v>
      </c>
      <c r="J31" s="16">
        <f t="shared" si="13"/>
        <v>1000000</v>
      </c>
    </row>
    <row r="32" spans="1:10">
      <c r="A32" s="11" t="s">
        <v>16</v>
      </c>
      <c r="B32" s="16">
        <f t="shared" si="8"/>
        <v>1288102.8885063222</v>
      </c>
      <c r="C32" s="11">
        <f t="shared" si="5"/>
        <v>-260048.0075946546</v>
      </c>
      <c r="D32" s="17">
        <f t="shared" si="9"/>
        <v>51524.115540252889</v>
      </c>
      <c r="E32" s="17">
        <f t="shared" si="10"/>
        <v>10820.064263453107</v>
      </c>
      <c r="F32" s="17">
        <f t="shared" si="11"/>
        <v>178917.49121352815</v>
      </c>
      <c r="G32" s="17">
        <f t="shared" si="12"/>
        <v>18786.336577420454</v>
      </c>
      <c r="H32" s="11">
        <f t="shared" si="6"/>
        <v>-23185.851993113796</v>
      </c>
      <c r="I32" s="11">
        <f t="shared" si="7"/>
        <v>-4869.0289185538968</v>
      </c>
      <c r="J32" s="16">
        <f t="shared" si="13"/>
        <v>1000000</v>
      </c>
    </row>
    <row r="33" spans="1:10">
      <c r="A33" s="11" t="s">
        <v>17</v>
      </c>
      <c r="B33" s="16">
        <f t="shared" si="8"/>
        <v>1321393.2241598251</v>
      </c>
      <c r="C33" s="11">
        <f t="shared" si="5"/>
        <v>-292613.27973762411</v>
      </c>
      <c r="D33" s="17">
        <f t="shared" si="9"/>
        <v>52855.728966393006</v>
      </c>
      <c r="E33" s="17">
        <f t="shared" si="10"/>
        <v>11099.703082942531</v>
      </c>
      <c r="F33" s="17">
        <f t="shared" si="11"/>
        <v>206930.1789034286</v>
      </c>
      <c r="G33" s="17">
        <f t="shared" si="12"/>
        <v>21727.668784860001</v>
      </c>
      <c r="H33" s="11">
        <f t="shared" si="6"/>
        <v>-23785.078034876849</v>
      </c>
      <c r="I33" s="11">
        <f t="shared" si="7"/>
        <v>-4994.8663873241385</v>
      </c>
      <c r="J33" s="16">
        <f t="shared" si="13"/>
        <v>1000000</v>
      </c>
    </row>
    <row r="34" spans="1:10">
      <c r="A34" s="11" t="s">
        <v>18</v>
      </c>
      <c r="B34" s="16">
        <f t="shared" si="8"/>
        <v>1355637.1799764254</v>
      </c>
      <c r="C34" s="11">
        <f t="shared" si="5"/>
        <v>-326111.40219653887</v>
      </c>
      <c r="D34" s="17">
        <f t="shared" si="9"/>
        <v>54225.487199057017</v>
      </c>
      <c r="E34" s="17">
        <f t="shared" si="10"/>
        <v>11387.352311801973</v>
      </c>
      <c r="F34" s="17">
        <f t="shared" si="11"/>
        <v>235745.30559790038</v>
      </c>
      <c r="G34" s="17">
        <f t="shared" si="12"/>
        <v>24753.257087779541</v>
      </c>
      <c r="H34" s="11">
        <f t="shared" si="6"/>
        <v>-24401.469239575654</v>
      </c>
      <c r="I34" s="11">
        <f t="shared" si="7"/>
        <v>-5124.3085403108871</v>
      </c>
      <c r="J34" s="16">
        <f t="shared" si="13"/>
        <v>999999.99999999988</v>
      </c>
    </row>
    <row r="35" spans="1:10">
      <c r="A35" s="11" t="s">
        <v>19</v>
      </c>
      <c r="B35" s="16">
        <f t="shared" si="8"/>
        <v>1390633.9413416698</v>
      </c>
      <c r="C35" s="11">
        <f t="shared" si="5"/>
        <v>-360345.9340992482</v>
      </c>
      <c r="D35" s="17">
        <f t="shared" si="9"/>
        <v>55625.35765366679</v>
      </c>
      <c r="E35" s="17">
        <f t="shared" si="10"/>
        <v>11681.325107270026</v>
      </c>
      <c r="F35" s="17">
        <f t="shared" si="11"/>
        <v>265193.89261385641</v>
      </c>
      <c r="G35" s="17">
        <f t="shared" si="12"/>
        <v>27845.358724454924</v>
      </c>
      <c r="H35" s="11">
        <f t="shared" si="6"/>
        <v>-25031.410944150055</v>
      </c>
      <c r="I35" s="11">
        <f t="shared" si="7"/>
        <v>-5256.5962982715109</v>
      </c>
      <c r="J35" s="16">
        <f t="shared" si="13"/>
        <v>1000000</v>
      </c>
    </row>
    <row r="36" spans="1:10">
      <c r="A36" s="11" t="s">
        <v>20</v>
      </c>
      <c r="B36" s="16">
        <f t="shared" si="8"/>
        <v>1426360.5696884117</v>
      </c>
      <c r="C36" s="11">
        <f t="shared" si="5"/>
        <v>-395294.436480598</v>
      </c>
      <c r="D36" s="17">
        <f t="shared" si="9"/>
        <v>57054.422787536467</v>
      </c>
      <c r="E36" s="17">
        <f t="shared" si="10"/>
        <v>11981.428785382657</v>
      </c>
      <c r="F36" s="17">
        <f t="shared" si="11"/>
        <v>295256.63792550121</v>
      </c>
      <c r="G36" s="17">
        <f t="shared" si="12"/>
        <v>31001.946982177626</v>
      </c>
      <c r="H36" s="11">
        <f t="shared" si="6"/>
        <v>-25674.490254391407</v>
      </c>
      <c r="I36" s="11">
        <f t="shared" si="7"/>
        <v>-5391.6429534221952</v>
      </c>
      <c r="J36" s="16">
        <f t="shared" si="13"/>
        <v>1000000</v>
      </c>
    </row>
    <row r="37" spans="1:10">
      <c r="A37" s="11" t="s">
        <v>21</v>
      </c>
      <c r="B37" s="16">
        <f t="shared" si="8"/>
        <v>1463024.6131945802</v>
      </c>
      <c r="C37" s="11">
        <f t="shared" si="5"/>
        <v>-431159.93711920211</v>
      </c>
      <c r="D37" s="17">
        <f t="shared" si="9"/>
        <v>58520.984527783206</v>
      </c>
      <c r="E37" s="17">
        <f t="shared" si="10"/>
        <v>12289.406750834472</v>
      </c>
      <c r="F37" s="17">
        <f t="shared" si="11"/>
        <v>326108.18628107192</v>
      </c>
      <c r="G37" s="17">
        <f t="shared" si="12"/>
        <v>34241.359559512552</v>
      </c>
      <c r="H37" s="11">
        <f t="shared" si="6"/>
        <v>-26334.443037502442</v>
      </c>
      <c r="I37" s="11">
        <f t="shared" si="7"/>
        <v>-5530.2330378755123</v>
      </c>
      <c r="J37" s="16">
        <f t="shared" si="13"/>
        <v>1000000.0000000001</v>
      </c>
    </row>
    <row r="38" spans="1:10">
      <c r="A38" s="11" t="s">
        <v>22</v>
      </c>
      <c r="B38" s="16">
        <f t="shared" si="8"/>
        <v>1500378.4704691758</v>
      </c>
      <c r="C38" s="11">
        <f t="shared" si="5"/>
        <v>-467700.22738235717</v>
      </c>
      <c r="D38" s="17">
        <f t="shared" si="9"/>
        <v>60015.138818767038</v>
      </c>
      <c r="E38" s="17">
        <f t="shared" si="10"/>
        <v>12603.179151941078</v>
      </c>
      <c r="F38" s="17">
        <f t="shared" si="11"/>
        <v>357540.18951280456</v>
      </c>
      <c r="G38" s="17">
        <f t="shared" si="12"/>
        <v>37541.71989884448</v>
      </c>
      <c r="H38" s="11">
        <f t="shared" si="6"/>
        <v>-27006.812468445161</v>
      </c>
      <c r="I38" s="11">
        <f t="shared" si="7"/>
        <v>-5671.4306183734834</v>
      </c>
      <c r="J38" s="16">
        <f t="shared" si="13"/>
        <v>1000000</v>
      </c>
    </row>
    <row r="41" spans="1:10" ht="19.5" thickBot="1">
      <c r="A41" s="18" t="s">
        <v>33</v>
      </c>
      <c r="B41" s="18"/>
    </row>
    <row r="42" spans="1:10" ht="15.75">
      <c r="A42" s="19" t="s">
        <v>34</v>
      </c>
      <c r="B42" s="20"/>
      <c r="C42" s="20"/>
      <c r="D42" s="21"/>
    </row>
    <row r="43" spans="1:10" ht="15.75">
      <c r="A43" s="22" t="s">
        <v>35</v>
      </c>
      <c r="D43" s="23"/>
    </row>
    <row r="44" spans="1:10" ht="15.75">
      <c r="A44" s="22" t="s">
        <v>36</v>
      </c>
      <c r="D44" s="23"/>
    </row>
    <row r="45" spans="1:10" ht="16.5" thickBot="1">
      <c r="A45" s="24" t="s">
        <v>37</v>
      </c>
      <c r="B45" s="25"/>
      <c r="C45" s="25"/>
      <c r="D45" s="26"/>
    </row>
  </sheetData>
  <mergeCells count="1">
    <mergeCell ref="D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Guillermo</cp:lastModifiedBy>
  <dcterms:created xsi:type="dcterms:W3CDTF">2026-01-02T13:28:29Z</dcterms:created>
  <dcterms:modified xsi:type="dcterms:W3CDTF">2026-01-02T13:29:22Z</dcterms:modified>
</cp:coreProperties>
</file>